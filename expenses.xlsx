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940" windowHeight="85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51" i="3" l="1"/>
  <c r="H51" i="3"/>
  <c r="L51" i="3"/>
  <c r="K51" i="3"/>
  <c r="J51" i="3"/>
  <c r="I51" i="3"/>
  <c r="L49" i="3"/>
  <c r="K49" i="3"/>
  <c r="J49" i="3"/>
  <c r="I49" i="3"/>
  <c r="H49" i="3"/>
  <c r="G49" i="3"/>
  <c r="J48" i="3"/>
  <c r="I48" i="3"/>
  <c r="K48" i="3"/>
  <c r="L48" i="3"/>
  <c r="H48" i="3"/>
  <c r="G48" i="3"/>
  <c r="L31" i="3"/>
  <c r="K31" i="3"/>
  <c r="J31" i="3"/>
  <c r="I31" i="3"/>
  <c r="H31" i="3"/>
  <c r="G31" i="3"/>
  <c r="L33" i="3"/>
  <c r="K33" i="3"/>
  <c r="J33" i="3"/>
  <c r="I33" i="3"/>
  <c r="H33" i="3"/>
  <c r="G33" i="3"/>
  <c r="G35" i="3"/>
  <c r="H35" i="3" s="1"/>
  <c r="I35" i="3" s="1"/>
  <c r="J35" i="3" s="1"/>
  <c r="K35" i="3" s="1"/>
  <c r="L35" i="3" s="1"/>
  <c r="L37" i="3"/>
  <c r="K37" i="3"/>
  <c r="J37" i="3"/>
  <c r="I37" i="3"/>
  <c r="H37" i="3"/>
  <c r="G37" i="3"/>
  <c r="G25" i="3"/>
  <c r="H25" i="3" s="1"/>
  <c r="I25" i="3" s="1"/>
  <c r="J25" i="3" s="1"/>
  <c r="K25" i="3" s="1"/>
  <c r="L25" i="3" s="1"/>
  <c r="G29" i="3"/>
  <c r="H29" i="3" s="1"/>
  <c r="I29" i="3" s="1"/>
  <c r="J29" i="3" s="1"/>
  <c r="K29" i="3" s="1"/>
  <c r="L29" i="3" s="1"/>
  <c r="M21" i="2"/>
  <c r="L21" i="2"/>
  <c r="K21" i="2"/>
  <c r="J21" i="2"/>
  <c r="I21" i="2"/>
  <c r="H21" i="2"/>
  <c r="G18" i="3"/>
  <c r="H18" i="3" s="1"/>
  <c r="I18" i="3" s="1"/>
  <c r="J18" i="3" s="1"/>
  <c r="K18" i="3" s="1"/>
  <c r="L18" i="3" s="1"/>
  <c r="G16" i="3"/>
  <c r="H16" i="3" s="1"/>
  <c r="I16" i="3" s="1"/>
  <c r="J16" i="3" s="1"/>
  <c r="K16" i="3" s="1"/>
  <c r="L16" i="3" s="1"/>
  <c r="M19" i="3"/>
  <c r="K21" i="3"/>
  <c r="H21" i="3"/>
  <c r="G23" i="3" l="1"/>
  <c r="H23" i="3" s="1"/>
  <c r="I23" i="3" s="1"/>
  <c r="J23" i="3" s="1"/>
  <c r="K23" i="3" s="1"/>
  <c r="L23" i="3" s="1"/>
  <c r="M23" i="3"/>
</calcChain>
</file>

<file path=xl/sharedStrings.xml><?xml version="1.0" encoding="utf-8"?>
<sst xmlns="http://schemas.openxmlformats.org/spreadsheetml/2006/main" count="49" uniqueCount="29">
  <si>
    <t>Sunny</t>
  </si>
  <si>
    <t>Sid</t>
  </si>
  <si>
    <t>Aakash</t>
  </si>
  <si>
    <t>Saurav</t>
  </si>
  <si>
    <t>Mukesh</t>
  </si>
  <si>
    <t>Ambar</t>
  </si>
  <si>
    <t>Desc</t>
  </si>
  <si>
    <t>Tesco- misc. &amp; sandwich</t>
  </si>
  <si>
    <t>Hotel Booking</t>
  </si>
  <si>
    <t xml:space="preserve">ASDA Stores 4326, Leeds </t>
  </si>
  <si>
    <t xml:space="preserve">Lidl UK, Tain </t>
  </si>
  <si>
    <t xml:space="preserve">Kylesku Hotel Ltd, Lairg </t>
  </si>
  <si>
    <t>Fuel</t>
  </si>
  <si>
    <t>Cobra</t>
  </si>
  <si>
    <t>JD</t>
  </si>
  <si>
    <t>Rest</t>
  </si>
  <si>
    <t>Individual</t>
  </si>
  <si>
    <t>Tesco Stores 5586, Thurso( Cofee Day 2)</t>
  </si>
  <si>
    <t>Cofee Day 1</t>
  </si>
  <si>
    <t>Car Rental</t>
  </si>
  <si>
    <t>Jura</t>
  </si>
  <si>
    <t>Taxi - Arrive</t>
  </si>
  <si>
    <t>Taxi Back home</t>
  </si>
  <si>
    <t>?</t>
  </si>
  <si>
    <t>Contributed</t>
  </si>
  <si>
    <t>Type</t>
  </si>
  <si>
    <t>Expense</t>
  </si>
  <si>
    <t>Share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</si>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</sst>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5:M21"/>
  <sheetViews>
    <sheetView workbookViewId="0">
      <selection activeCell="H21" sqref="H21:M21"/>
    </sheetView>
  </sheetViews>
  <sheetFormatPr defaultRowHeight="12.75" x14ac:dyDescent="0.2"/>
  <sheetData>
    <row r="15" spans="8:13" x14ac:dyDescent="0.2">
      <c r="H15" t="s">
        <v>0</v>
      </c>
      <c r="I15" t="s">
        <v>1</v>
      </c>
      <c r="J15" t="s">
        <v>2</v>
      </c>
      <c r="K15" t="s">
        <v>3</v>
      </c>
      <c r="L15" t="s">
        <v>5</v>
      </c>
      <c r="M15" t="s">
        <v>4</v>
      </c>
    </row>
    <row r="16" spans="8:13" x14ac:dyDescent="0.2">
      <c r="H16">
        <v>4.95</v>
      </c>
      <c r="I16">
        <v>7.5</v>
      </c>
      <c r="J16">
        <v>4.95</v>
      </c>
      <c r="M16">
        <v>4.95</v>
      </c>
    </row>
    <row r="17" spans="8:13" x14ac:dyDescent="0.2">
      <c r="I17">
        <v>14.65</v>
      </c>
    </row>
    <row r="18" spans="8:13" x14ac:dyDescent="0.2">
      <c r="H18">
        <v>3.25</v>
      </c>
      <c r="J18">
        <v>3.25</v>
      </c>
      <c r="M18">
        <v>3.25</v>
      </c>
    </row>
    <row r="19" spans="8:13" x14ac:dyDescent="0.2">
      <c r="L19">
        <v>3.25</v>
      </c>
    </row>
    <row r="20" spans="8:13" x14ac:dyDescent="0.2">
      <c r="H20">
        <v>3.5</v>
      </c>
      <c r="I20">
        <v>3.5</v>
      </c>
      <c r="J20">
        <v>3.5</v>
      </c>
      <c r="L20">
        <v>3.5</v>
      </c>
    </row>
    <row r="21" spans="8:13" x14ac:dyDescent="0.2">
      <c r="H21">
        <f>SUM(H16:H20)</f>
        <v>11.7</v>
      </c>
      <c r="I21">
        <f>SUM(I16:I20)</f>
        <v>25.65</v>
      </c>
      <c r="J21">
        <f>SUM(J16:J20)</f>
        <v>11.7</v>
      </c>
      <c r="K21">
        <f>SUM(K16:K20)</f>
        <v>0</v>
      </c>
      <c r="L21">
        <f>SUM(L16:L20)</f>
        <v>6.75</v>
      </c>
      <c r="M21">
        <f>SUM(M16:M20)</f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4:M51"/>
  <sheetViews>
    <sheetView topLeftCell="A7" workbookViewId="0">
      <selection activeCell="G51" sqref="G51"/>
    </sheetView>
  </sheetViews>
  <sheetFormatPr defaultRowHeight="12.75" x14ac:dyDescent="0.2"/>
  <cols>
    <col min="5" max="5" width="36" bestFit="1" customWidth="1"/>
    <col min="6" max="6" width="18" customWidth="1"/>
  </cols>
  <sheetData>
    <row r="14" spans="4:12" x14ac:dyDescent="0.2">
      <c r="D14" t="s">
        <v>25</v>
      </c>
      <c r="E14" t="s">
        <v>6</v>
      </c>
      <c r="G14" t="s">
        <v>0</v>
      </c>
      <c r="H14" t="s">
        <v>1</v>
      </c>
      <c r="I14" t="s">
        <v>2</v>
      </c>
      <c r="J14" t="s">
        <v>3</v>
      </c>
      <c r="K14" t="s">
        <v>5</v>
      </c>
      <c r="L14" t="s">
        <v>4</v>
      </c>
    </row>
    <row r="15" spans="4:12" x14ac:dyDescent="0.2">
      <c r="D15" t="s">
        <v>26</v>
      </c>
      <c r="E15" s="1" t="s">
        <v>7</v>
      </c>
      <c r="F15" s="1"/>
      <c r="G15" s="1">
        <v>31.44</v>
      </c>
      <c r="H15" s="1"/>
      <c r="I15" s="1"/>
      <c r="J15" s="1"/>
      <c r="K15" s="1"/>
      <c r="L15" s="1"/>
    </row>
    <row r="16" spans="4:12" x14ac:dyDescent="0.2">
      <c r="G16">
        <f>G15/6</f>
        <v>5.24</v>
      </c>
      <c r="H16">
        <f>G16</f>
        <v>5.24</v>
      </c>
      <c r="I16">
        <f>H16</f>
        <v>5.24</v>
      </c>
      <c r="J16">
        <f>I16</f>
        <v>5.24</v>
      </c>
      <c r="K16">
        <f>J16</f>
        <v>5.24</v>
      </c>
      <c r="L16">
        <f>K16</f>
        <v>5.24</v>
      </c>
    </row>
    <row r="17" spans="3:13" x14ac:dyDescent="0.2">
      <c r="D17" t="s">
        <v>26</v>
      </c>
      <c r="E17" s="1" t="s">
        <v>8</v>
      </c>
      <c r="F17" s="1"/>
      <c r="G17" s="1">
        <v>160</v>
      </c>
      <c r="H17" s="1"/>
      <c r="I17" s="1"/>
      <c r="J17" s="1"/>
      <c r="K17" s="1"/>
      <c r="L17" s="1"/>
    </row>
    <row r="18" spans="3:13" x14ac:dyDescent="0.2">
      <c r="G18">
        <f>G17/6</f>
        <v>26.666666666666668</v>
      </c>
      <c r="H18">
        <f>G18</f>
        <v>26.666666666666668</v>
      </c>
      <c r="I18">
        <f>H18</f>
        <v>26.666666666666668</v>
      </c>
      <c r="J18">
        <f>I18</f>
        <v>26.666666666666668</v>
      </c>
      <c r="K18">
        <f>J18</f>
        <v>26.666666666666668</v>
      </c>
      <c r="L18">
        <f>K18</f>
        <v>26.666666666666668</v>
      </c>
    </row>
    <row r="19" spans="3:13" x14ac:dyDescent="0.2">
      <c r="D19" t="s">
        <v>26</v>
      </c>
      <c r="E19" s="1" t="s">
        <v>9</v>
      </c>
      <c r="F19" s="1"/>
      <c r="G19" s="1">
        <v>96.3</v>
      </c>
      <c r="H19" s="1"/>
      <c r="I19" s="1"/>
      <c r="J19" s="1"/>
      <c r="K19" s="1"/>
      <c r="L19" s="1"/>
      <c r="M19">
        <f>G19</f>
        <v>96.3</v>
      </c>
    </row>
    <row r="20" spans="3:13" x14ac:dyDescent="0.2">
      <c r="F20" t="s">
        <v>13</v>
      </c>
      <c r="K20">
        <v>10</v>
      </c>
    </row>
    <row r="21" spans="3:13" x14ac:dyDescent="0.2">
      <c r="F21" t="s">
        <v>20</v>
      </c>
      <c r="H21">
        <f>35/2</f>
        <v>17.5</v>
      </c>
      <c r="K21">
        <f>35/2</f>
        <v>17.5</v>
      </c>
    </row>
    <row r="22" spans="3:13" x14ac:dyDescent="0.2">
      <c r="F22" t="s">
        <v>14</v>
      </c>
      <c r="G22">
        <v>15</v>
      </c>
    </row>
    <row r="23" spans="3:13" x14ac:dyDescent="0.2">
      <c r="F23" t="s">
        <v>15</v>
      </c>
      <c r="G23">
        <f>(G19-G22-K20-H21-K21)/6</f>
        <v>6.05</v>
      </c>
      <c r="H23">
        <f>G23</f>
        <v>6.05</v>
      </c>
      <c r="I23">
        <f>H23</f>
        <v>6.05</v>
      </c>
      <c r="J23">
        <f>I23</f>
        <v>6.05</v>
      </c>
      <c r="K23">
        <f>J23</f>
        <v>6.05</v>
      </c>
      <c r="L23">
        <f>K23</f>
        <v>6.05</v>
      </c>
      <c r="M23">
        <f>SUM(G20:L23)</f>
        <v>96.299999999999983</v>
      </c>
    </row>
    <row r="24" spans="3:13" x14ac:dyDescent="0.2">
      <c r="D24" t="s">
        <v>26</v>
      </c>
      <c r="E24" s="1" t="s">
        <v>10</v>
      </c>
      <c r="F24" s="1"/>
      <c r="G24" s="1">
        <v>17.88</v>
      </c>
      <c r="H24" s="1"/>
      <c r="I24" s="1"/>
      <c r="J24" s="1"/>
      <c r="K24" s="1"/>
      <c r="L24" s="1"/>
    </row>
    <row r="25" spans="3:13" x14ac:dyDescent="0.2">
      <c r="G25">
        <f>G24/6</f>
        <v>2.98</v>
      </c>
      <c r="H25">
        <f>G25</f>
        <v>2.98</v>
      </c>
      <c r="I25">
        <f>H25</f>
        <v>2.98</v>
      </c>
      <c r="J25">
        <f>I25</f>
        <v>2.98</v>
      </c>
      <c r="K25">
        <f>J25</f>
        <v>2.98</v>
      </c>
      <c r="L25">
        <f>K25</f>
        <v>2.98</v>
      </c>
    </row>
    <row r="26" spans="3:13" x14ac:dyDescent="0.2">
      <c r="D26" t="s">
        <v>26</v>
      </c>
      <c r="E26" s="1" t="s">
        <v>11</v>
      </c>
      <c r="F26" s="1"/>
      <c r="G26" s="1">
        <v>64</v>
      </c>
      <c r="H26" s="1"/>
      <c r="I26" s="1"/>
      <c r="J26" s="1"/>
      <c r="K26" s="1"/>
      <c r="L26" s="1"/>
    </row>
    <row r="27" spans="3:13" x14ac:dyDescent="0.2">
      <c r="F27" t="s">
        <v>16</v>
      </c>
      <c r="G27">
        <v>11.7</v>
      </c>
      <c r="H27">
        <v>25.65</v>
      </c>
      <c r="I27">
        <v>11.7</v>
      </c>
      <c r="J27">
        <v>0</v>
      </c>
      <c r="K27">
        <v>6.75</v>
      </c>
      <c r="L27">
        <v>8.1999999999999993</v>
      </c>
    </row>
    <row r="28" spans="3:13" x14ac:dyDescent="0.2">
      <c r="D28" t="s">
        <v>26</v>
      </c>
      <c r="E28" s="1" t="s">
        <v>17</v>
      </c>
      <c r="F28" s="1"/>
      <c r="G28" s="1">
        <v>14.1</v>
      </c>
      <c r="H28" s="1"/>
      <c r="I28" s="1"/>
      <c r="J28" s="1"/>
      <c r="K28" s="1"/>
      <c r="L28" s="1"/>
    </row>
    <row r="29" spans="3:13" x14ac:dyDescent="0.2">
      <c r="G29">
        <f>G28/6</f>
        <v>2.35</v>
      </c>
      <c r="H29">
        <f>G29</f>
        <v>2.35</v>
      </c>
      <c r="I29">
        <f>H29</f>
        <v>2.35</v>
      </c>
      <c r="J29">
        <f>I29</f>
        <v>2.35</v>
      </c>
      <c r="K29">
        <f>J29</f>
        <v>2.35</v>
      </c>
      <c r="L29">
        <f>K29</f>
        <v>2.35</v>
      </c>
    </row>
    <row r="30" spans="3:13" x14ac:dyDescent="0.2">
      <c r="C30" t="s">
        <v>23</v>
      </c>
      <c r="D30" t="s">
        <v>26</v>
      </c>
      <c r="E30" s="1" t="s">
        <v>18</v>
      </c>
      <c r="F30" s="1"/>
      <c r="G30" s="1"/>
      <c r="H30" s="1">
        <v>14.1</v>
      </c>
      <c r="I30" s="1"/>
      <c r="J30" s="1"/>
      <c r="K30" s="1"/>
      <c r="L30" s="1"/>
    </row>
    <row r="31" spans="3:13" x14ac:dyDescent="0.2">
      <c r="G31">
        <f>H30/6</f>
        <v>2.35</v>
      </c>
      <c r="H31">
        <f>G31</f>
        <v>2.35</v>
      </c>
      <c r="I31">
        <f>H31</f>
        <v>2.35</v>
      </c>
      <c r="J31">
        <f>I31</f>
        <v>2.35</v>
      </c>
      <c r="K31">
        <f>J31</f>
        <v>2.35</v>
      </c>
      <c r="L31">
        <f>K31</f>
        <v>2.35</v>
      </c>
    </row>
    <row r="32" spans="3:13" x14ac:dyDescent="0.2">
      <c r="C32" t="s">
        <v>23</v>
      </c>
      <c r="D32" t="s">
        <v>26</v>
      </c>
      <c r="E32" s="1" t="s">
        <v>19</v>
      </c>
      <c r="F32" s="1"/>
      <c r="G32" s="1"/>
      <c r="H32" s="1">
        <v>150</v>
      </c>
      <c r="I32" s="1"/>
      <c r="J32" s="1"/>
      <c r="K32" s="1"/>
      <c r="L32" s="1"/>
    </row>
    <row r="33" spans="3:12" x14ac:dyDescent="0.2">
      <c r="G33">
        <f>H32/6</f>
        <v>25</v>
      </c>
      <c r="H33">
        <f>G33</f>
        <v>25</v>
      </c>
      <c r="I33">
        <f>H33</f>
        <v>25</v>
      </c>
      <c r="J33">
        <f>I33</f>
        <v>25</v>
      </c>
      <c r="K33">
        <f>J33</f>
        <v>25</v>
      </c>
      <c r="L33">
        <f>K33</f>
        <v>25</v>
      </c>
    </row>
    <row r="34" spans="3:12" x14ac:dyDescent="0.2">
      <c r="C34" t="s">
        <v>23</v>
      </c>
      <c r="D34" t="s">
        <v>26</v>
      </c>
      <c r="E34" s="1" t="s">
        <v>12</v>
      </c>
      <c r="F34" s="1"/>
      <c r="G34" s="1"/>
      <c r="H34" s="1">
        <v>72</v>
      </c>
      <c r="I34" s="1"/>
      <c r="J34" s="1"/>
      <c r="K34" s="1"/>
      <c r="L34" s="1"/>
    </row>
    <row r="35" spans="3:12" x14ac:dyDescent="0.2">
      <c r="G35">
        <f>H34/6</f>
        <v>12</v>
      </c>
      <c r="H35">
        <f>G35</f>
        <v>12</v>
      </c>
      <c r="I35">
        <f>H35</f>
        <v>12</v>
      </c>
      <c r="J35">
        <f>I35</f>
        <v>12</v>
      </c>
      <c r="K35">
        <f>J35</f>
        <v>12</v>
      </c>
      <c r="L35">
        <f>K35</f>
        <v>12</v>
      </c>
    </row>
    <row r="36" spans="3:12" x14ac:dyDescent="0.2">
      <c r="C36" t="s">
        <v>23</v>
      </c>
      <c r="D36" t="s">
        <v>26</v>
      </c>
      <c r="E36" s="1" t="s">
        <v>21</v>
      </c>
      <c r="F36" s="1"/>
      <c r="G36" s="1"/>
      <c r="H36" s="1">
        <v>15</v>
      </c>
      <c r="I36" s="1"/>
      <c r="J36" s="1"/>
      <c r="K36" s="1"/>
      <c r="L36" s="1"/>
    </row>
    <row r="37" spans="3:12" x14ac:dyDescent="0.2">
      <c r="G37">
        <f>H36/6</f>
        <v>2.5</v>
      </c>
      <c r="H37">
        <f>G37</f>
        <v>2.5</v>
      </c>
      <c r="I37">
        <f>H37</f>
        <v>2.5</v>
      </c>
      <c r="J37">
        <f>I37</f>
        <v>2.5</v>
      </c>
      <c r="K37">
        <f>J37</f>
        <v>2.5</v>
      </c>
      <c r="L37">
        <f>K37</f>
        <v>2.5</v>
      </c>
    </row>
    <row r="38" spans="3:12" x14ac:dyDescent="0.2">
      <c r="C38" t="s">
        <v>23</v>
      </c>
      <c r="D38" t="s">
        <v>26</v>
      </c>
      <c r="E38" s="1" t="s">
        <v>22</v>
      </c>
      <c r="F38" s="1"/>
      <c r="G38" s="1"/>
      <c r="H38" s="1"/>
      <c r="I38" s="1"/>
      <c r="J38" s="1"/>
      <c r="K38" s="1"/>
      <c r="L38" s="1"/>
    </row>
    <row r="48" spans="3:12" x14ac:dyDescent="0.2">
      <c r="E48" t="s">
        <v>24</v>
      </c>
      <c r="G48">
        <f>SUMIF(D15:D47,"Expense",G15:G47)</f>
        <v>383.72</v>
      </c>
      <c r="H48">
        <f>SUMIF(D15:D47,"Expense",H15:H47)</f>
        <v>251.1</v>
      </c>
      <c r="I48">
        <f>SUMIF(D15:D47,"Expense",I15:I47)</f>
        <v>0</v>
      </c>
      <c r="J48">
        <f>SUMIF(D15:D47,"Expense",J15:J47)</f>
        <v>0</v>
      </c>
      <c r="K48">
        <f>SUMIF(D15:D47,"Expense",K15:K47)</f>
        <v>0</v>
      </c>
      <c r="L48">
        <f>SUMIF(D15:D47,"Expense",L15:L47)</f>
        <v>0</v>
      </c>
    </row>
    <row r="49" spans="5:12" x14ac:dyDescent="0.2">
      <c r="E49" t="s">
        <v>27</v>
      </c>
      <c r="G49">
        <f>SUMIF(D16:D47,"",G16:G47)</f>
        <v>111.83666666666664</v>
      </c>
      <c r="H49">
        <f>SUMIF(D16:D47,"",H16:H47)</f>
        <v>128.28666666666663</v>
      </c>
      <c r="I49">
        <f>SUMIF(D16:D47,"",I16:I47)</f>
        <v>96.836666666666659</v>
      </c>
      <c r="J49">
        <f>SUMIF(D16:D47,"",J16:J47)</f>
        <v>85.136666666666656</v>
      </c>
      <c r="K49">
        <f>SUMIF(D16:D47,"",K16:K47)</f>
        <v>119.38666666666666</v>
      </c>
      <c r="L49">
        <f>SUMIF(D16:D47,"",L16:L47)</f>
        <v>93.336666666666659</v>
      </c>
    </row>
    <row r="51" spans="5:12" x14ac:dyDescent="0.2">
      <c r="E51" t="s">
        <v>28</v>
      </c>
      <c r="G51">
        <f>G49-G48</f>
        <v>-271.88333333333338</v>
      </c>
      <c r="H51">
        <f>H49-H48</f>
        <v>-122.81333333333336</v>
      </c>
      <c r="I51">
        <f>I49-I48</f>
        <v>96.836666666666659</v>
      </c>
      <c r="J51">
        <f>J49-J48</f>
        <v>85.136666666666656</v>
      </c>
      <c r="K51">
        <f>K49-K48</f>
        <v>119.38666666666666</v>
      </c>
      <c r="L51">
        <f>L49-L48</f>
        <v>93.336666666666659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JPMorgan Chase &amp; Co.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KHANUJA</dc:creator>
  <cp:lastModifiedBy>SUNNY KHANUJA</cp:lastModifiedBy>
  <dcterms:created xsi:type="dcterms:W3CDTF">2017-10-13T13:05:07Z</dcterms:created>
  <dcterms:modified xsi:type="dcterms:W3CDTF">2017-10-15T13:08:33Z</dcterms:modified>
</cp:coreProperties>
</file>